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ero 2026" sheetId="1" r:id="rId5"/>
  </sheets>
  <definedNames/>
  <calcPr/>
</workbook>
</file>

<file path=xl/sharedStrings.xml><?xml version="1.0" encoding="utf-8"?>
<sst xmlns="http://schemas.openxmlformats.org/spreadsheetml/2006/main" count="22" uniqueCount="16">
  <si>
    <t>Línea de Crédito Zeppelin</t>
  </si>
  <si>
    <t>Línea de Crédito EESS</t>
  </si>
  <si>
    <t>Inmobiliaria</t>
  </si>
  <si>
    <t>N OC</t>
  </si>
  <si>
    <t>N Factura</t>
  </si>
  <si>
    <t>Inversión</t>
  </si>
  <si>
    <t>Pilares</t>
  </si>
  <si>
    <t>Socovesa</t>
  </si>
  <si>
    <t>Almagro</t>
  </si>
  <si>
    <t>Almagro Inmobiliaria</t>
  </si>
  <si>
    <t>Total</t>
  </si>
  <si>
    <t>Almagro Propiedades</t>
  </si>
  <si>
    <t>Fee (2%)</t>
  </si>
  <si>
    <t>Total Neto</t>
  </si>
  <si>
    <t>IVA</t>
  </si>
  <si>
    <t>Total Bruto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</si>
</sst>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4" fillId="3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10" fillId="0" fontId="2" numFmtId="164" xfId="0" applyBorder="1" applyFont="1" applyNumberFormat="1"/>
    <xf borderId="6" fillId="4" fontId="1" numFmtId="0" xfId="0" applyAlignment="1" applyBorder="1" applyFill="1" applyFont="1">
      <alignment readingOrder="0"/>
    </xf>
    <xf borderId="6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8.25"/>
  </cols>
  <sheetData>
    <row r="3">
      <c r="B3" s="1" t="s">
        <v>0</v>
      </c>
      <c r="G3" s="1" t="s">
        <v>1</v>
      </c>
    </row>
    <row r="4">
      <c r="B4" s="2" t="s">
        <v>2</v>
      </c>
      <c r="C4" s="3" t="s">
        <v>3</v>
      </c>
      <c r="D4" s="3" t="s">
        <v>4</v>
      </c>
      <c r="E4" s="4" t="s">
        <v>5</v>
      </c>
      <c r="G4" s="2" t="s">
        <v>2</v>
      </c>
      <c r="H4" s="3" t="s">
        <v>4</v>
      </c>
      <c r="I4" s="4" t="s">
        <v>5</v>
      </c>
    </row>
    <row r="5">
      <c r="B5" s="5" t="s">
        <v>6</v>
      </c>
      <c r="C5" s="6">
        <v>12344.0</v>
      </c>
      <c r="D5" s="6">
        <v>5.508938234E9</v>
      </c>
      <c r="E5" s="7">
        <v>5758602.0</v>
      </c>
      <c r="G5" s="5" t="s">
        <v>6</v>
      </c>
      <c r="H5" s="6">
        <v>5.508450624E9</v>
      </c>
      <c r="I5" s="7">
        <v>1581701.0</v>
      </c>
    </row>
    <row r="6">
      <c r="B6" s="5" t="s">
        <v>7</v>
      </c>
      <c r="C6" s="6">
        <v>12345.0</v>
      </c>
      <c r="D6" s="6">
        <v>5.511991578E9</v>
      </c>
      <c r="E6" s="7">
        <v>1.6214054E7</v>
      </c>
      <c r="G6" s="5" t="s">
        <v>7</v>
      </c>
      <c r="H6" s="6">
        <v>5.508956529E9</v>
      </c>
      <c r="I6" s="7">
        <v>5039323.0</v>
      </c>
    </row>
    <row r="7">
      <c r="B7" s="8" t="s">
        <v>8</v>
      </c>
      <c r="C7" s="9">
        <v>12346.0</v>
      </c>
      <c r="D7" s="9">
        <v>5.509669872E9</v>
      </c>
      <c r="E7" s="10">
        <v>2.2640561E7</v>
      </c>
      <c r="G7" s="5" t="s">
        <v>9</v>
      </c>
      <c r="H7" s="6">
        <v>5.509647851E9</v>
      </c>
      <c r="I7" s="7">
        <v>7148317.0</v>
      </c>
    </row>
    <row r="8">
      <c r="D8" s="11" t="s">
        <v>10</v>
      </c>
      <c r="E8" s="12">
        <f>SUM(E5:E7)</f>
        <v>44613217</v>
      </c>
      <c r="G8" s="8" t="s">
        <v>11</v>
      </c>
      <c r="H8" s="9">
        <v>5.510587237E9</v>
      </c>
      <c r="I8" s="10">
        <v>224248.0</v>
      </c>
    </row>
    <row r="9">
      <c r="D9" s="13" t="s">
        <v>12</v>
      </c>
      <c r="E9" s="7">
        <f>E8*2%</f>
        <v>892264.34</v>
      </c>
      <c r="H9" s="14" t="s">
        <v>10</v>
      </c>
      <c r="I9" s="15">
        <f>SUM(I5:I8)</f>
        <v>13993589</v>
      </c>
    </row>
    <row r="10">
      <c r="D10" s="16" t="s">
        <v>13</v>
      </c>
      <c r="E10" s="10">
        <f>SUM(E8:E9)</f>
        <v>45505481.34</v>
      </c>
    </row>
    <row r="11">
      <c r="D11" s="11" t="s">
        <v>14</v>
      </c>
      <c r="E11" s="12">
        <f>E10*19%</f>
        <v>8646041.455</v>
      </c>
    </row>
    <row r="12">
      <c r="D12" s="17" t="s">
        <v>15</v>
      </c>
      <c r="E12" s="10">
        <f>SUM(E10:E11)</f>
        <v>54151522.79</v>
      </c>
    </row>
  </sheetData>
  <mergeCells count="2">
    <mergeCell ref="B3:D3"/>
    <mergeCell ref="G3:I3"/>
  </mergeCells>
  <drawing r:id="rId1"/>
</worksheet>
</file>